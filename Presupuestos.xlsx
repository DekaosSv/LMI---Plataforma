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1\Downloads\LMI\"/>
    </mc:Choice>
  </mc:AlternateContent>
  <xr:revisionPtr revIDLastSave="0" documentId="13_ncr:1_{79F2BF86-E291-42AA-A124-757909A7DCD4}" xr6:coauthVersionLast="47" xr6:coauthVersionMax="47" xr10:uidLastSave="{00000000-0000-0000-0000-000000000000}"/>
  <bookViews>
    <workbookView xWindow="-20610" yWindow="-120" windowWidth="20730" windowHeight="11040" xr2:uid="{9481DF28-0B3E-48A4-9B25-BB3654989BFF}"/>
  </bookViews>
  <sheets>
    <sheet name="Hoja1" sheetId="1" r:id="rId1"/>
    <sheet name="Hoja2" sheetId="2" r:id="rId2"/>
  </sheets>
  <definedNames>
    <definedName name="_xlnm._FilterDatabase" localSheetId="0" hidden="1">Hoja1!$A$3:$P$20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0" i="1" l="1"/>
  <c r="P20" i="1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" i="2"/>
  <c r="N17" i="1"/>
  <c r="P17" i="1" s="1"/>
  <c r="N6" i="1"/>
  <c r="P6" i="1" s="1"/>
  <c r="N7" i="1"/>
  <c r="P7" i="1" s="1"/>
  <c r="N5" i="1"/>
  <c r="P5" i="1" s="1"/>
  <c r="N9" i="1"/>
  <c r="P9" i="1" s="1"/>
  <c r="N12" i="1"/>
  <c r="P12" i="1" s="1"/>
  <c r="N18" i="1"/>
  <c r="P18" i="1" s="1"/>
  <c r="N15" i="1"/>
  <c r="P15" i="1" s="1"/>
  <c r="N11" i="1"/>
  <c r="P11" i="1" s="1"/>
  <c r="N19" i="1"/>
  <c r="P19" i="1" s="1"/>
  <c r="N10" i="1"/>
  <c r="P10" i="1" s="1"/>
  <c r="N14" i="1"/>
  <c r="P14" i="1" s="1"/>
  <c r="N8" i="1"/>
  <c r="P8" i="1" s="1"/>
  <c r="N13" i="1"/>
  <c r="P13" i="1" s="1"/>
  <c r="N16" i="1"/>
  <c r="P16" i="1" s="1"/>
  <c r="N4" i="1"/>
  <c r="P4" i="1" s="1"/>
</calcChain>
</file>

<file path=xl/sharedStrings.xml><?xml version="1.0" encoding="utf-8"?>
<sst xmlns="http://schemas.openxmlformats.org/spreadsheetml/2006/main" count="86" uniqueCount="48">
  <si>
    <t>EQUIPO</t>
  </si>
  <si>
    <t>POSICION</t>
  </si>
  <si>
    <t>PREMIO</t>
  </si>
  <si>
    <t>GOLEADOR</t>
  </si>
  <si>
    <t>ASISTIDOR</t>
  </si>
  <si>
    <t>PRETEMPORADA</t>
  </si>
  <si>
    <t>PRESP.ANTERIOR</t>
  </si>
  <si>
    <t>TEMPORADA</t>
  </si>
  <si>
    <t>RENOVACIONES</t>
  </si>
  <si>
    <t>PRESP FINAL</t>
  </si>
  <si>
    <t>LIGA</t>
  </si>
  <si>
    <t>COPA ESTELAR</t>
  </si>
  <si>
    <t>CHAMPIONS LEAGUE</t>
  </si>
  <si>
    <t>MONTO</t>
  </si>
  <si>
    <t>Como 1907</t>
  </si>
  <si>
    <t>Inter de Milan</t>
  </si>
  <si>
    <t>Real Madrid</t>
  </si>
  <si>
    <t>FC Barcelona</t>
  </si>
  <si>
    <t>Manchester City</t>
  </si>
  <si>
    <t>AC Milán</t>
  </si>
  <si>
    <t>Bayern Leverkusen</t>
  </si>
  <si>
    <t>RB Leipzig</t>
  </si>
  <si>
    <t>Boca Juniors</t>
  </si>
  <si>
    <t>Galatasaray</t>
  </si>
  <si>
    <t>PSG</t>
  </si>
  <si>
    <t>Arsenal</t>
  </si>
  <si>
    <t>Wrexham</t>
  </si>
  <si>
    <t>Atletico de Madrid</t>
  </si>
  <si>
    <t>Casa Pia AC</t>
  </si>
  <si>
    <t>Urawa Red Diamonds</t>
  </si>
  <si>
    <t>Borussia Dortmund</t>
  </si>
  <si>
    <t>Club America</t>
  </si>
  <si>
    <t>DINERO</t>
  </si>
  <si>
    <t>COMPRAS</t>
  </si>
  <si>
    <t>VENTAS</t>
  </si>
  <si>
    <t>LIBRES</t>
  </si>
  <si>
    <t>PRESTAMOS</t>
  </si>
  <si>
    <t>Arnold 2 temporadas</t>
  </si>
  <si>
    <t>BAJAS</t>
  </si>
  <si>
    <t>TOTAL</t>
  </si>
  <si>
    <t>Julian x Dembele 2 temp</t>
  </si>
  <si>
    <t>Ousmane Dembélé x Julián Alvarez -&gt; Inter de Milan 2 temp Lionel Messi x  -&gt; AC Milan 1 temp</t>
  </si>
  <si>
    <t>eliot anderson -&gt; como x 50 M 1 temp</t>
  </si>
  <si>
    <t>8vos</t>
  </si>
  <si>
    <t>4tos</t>
  </si>
  <si>
    <t>Semis</t>
  </si>
  <si>
    <t>GOLEADOR/ASISTIDOR</t>
  </si>
  <si>
    <t xml:space="preserve"> GOLEADOR/ASISTIDOR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</si>
</sst>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FEFA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E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8DD9-62BF-4F61-8FBF-6664D0041D04}">
  <dimension ref="A1:P20"/>
  <sheetViews>
    <sheetView tabSelected="1" zoomScale="96" zoomScaleNormal="96" workbookViewId="0">
      <selection activeCell="H14" sqref="H14"/>
    </sheetView>
  </sheetViews>
  <sheetFormatPr baseColWidth="10" defaultRowHeight="14.4" x14ac:dyDescent="0.3"/>
  <cols>
    <col min="1" max="1" width="18.88671875" bestFit="1" customWidth="1"/>
    <col min="2" max="2" width="14.33203125" bestFit="1" customWidth="1"/>
    <col min="3" max="3" width="12.33203125" bestFit="1" customWidth="1"/>
    <col min="4" max="4" width="12.6640625" customWidth="1"/>
    <col min="5" max="5" width="12.109375" customWidth="1"/>
    <col min="6" max="6" width="13.109375" customWidth="1"/>
    <col min="7" max="7" width="10.5546875" customWidth="1"/>
    <col min="8" max="8" width="23.109375" customWidth="1"/>
    <col min="9" max="9" width="14.33203125" bestFit="1" customWidth="1"/>
    <col min="10" max="10" width="12.33203125" bestFit="1" customWidth="1"/>
    <col min="11" max="11" width="22.109375" customWidth="1"/>
    <col min="12" max="12" width="14.88671875" bestFit="1" customWidth="1"/>
    <col min="13" max="13" width="15.77734375" bestFit="1" customWidth="1"/>
    <col min="14" max="14" width="11.5546875" bestFit="1" customWidth="1"/>
    <col min="15" max="15" width="14.6640625" bestFit="1" customWidth="1"/>
    <col min="16" max="16" width="11.88671875" bestFit="1" customWidth="1"/>
  </cols>
  <sheetData>
    <row r="1" spans="1:16" x14ac:dyDescent="0.3">
      <c r="A1" s="1" t="s">
        <v>0</v>
      </c>
      <c r="B1" s="12" t="s">
        <v>10</v>
      </c>
      <c r="C1" s="12"/>
      <c r="D1" s="12"/>
      <c r="E1" s="12"/>
      <c r="F1" s="15" t="s">
        <v>11</v>
      </c>
      <c r="G1" s="15"/>
      <c r="H1" s="15"/>
      <c r="I1" s="16" t="s">
        <v>12</v>
      </c>
      <c r="J1" s="16"/>
      <c r="K1" s="16"/>
      <c r="L1" s="5" t="s">
        <v>5</v>
      </c>
      <c r="M1" s="1" t="s">
        <v>6</v>
      </c>
      <c r="N1" s="1" t="s">
        <v>7</v>
      </c>
      <c r="O1" s="1" t="s">
        <v>8</v>
      </c>
      <c r="P1" s="6" t="s">
        <v>9</v>
      </c>
    </row>
    <row r="2" spans="1:16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3"/>
      <c r="P2" s="14"/>
    </row>
    <row r="3" spans="1:16" x14ac:dyDescent="0.3">
      <c r="B3" s="2" t="s">
        <v>1</v>
      </c>
      <c r="C3" s="2" t="s">
        <v>2</v>
      </c>
      <c r="D3" s="2" t="s">
        <v>3</v>
      </c>
      <c r="E3" s="2" t="s">
        <v>4</v>
      </c>
      <c r="F3" s="3" t="s">
        <v>1</v>
      </c>
      <c r="G3" s="3" t="s">
        <v>2</v>
      </c>
      <c r="H3" s="3" t="s">
        <v>46</v>
      </c>
      <c r="I3" s="4" t="s">
        <v>1</v>
      </c>
      <c r="J3" s="4" t="s">
        <v>2</v>
      </c>
      <c r="K3" s="4" t="s">
        <v>47</v>
      </c>
      <c r="O3" s="1" t="s">
        <v>13</v>
      </c>
    </row>
    <row r="4" spans="1:16" x14ac:dyDescent="0.3">
      <c r="A4" s="1" t="s">
        <v>14</v>
      </c>
      <c r="B4" s="2">
        <v>1</v>
      </c>
      <c r="C4" s="2">
        <v>320</v>
      </c>
      <c r="D4" s="2">
        <v>45</v>
      </c>
      <c r="E4" s="2">
        <v>30</v>
      </c>
      <c r="F4" s="3" t="s">
        <v>43</v>
      </c>
      <c r="G4" s="3">
        <v>50</v>
      </c>
      <c r="H4" s="3"/>
      <c r="I4" s="4"/>
      <c r="J4" s="4"/>
      <c r="K4" s="4"/>
      <c r="L4" s="5">
        <v>20</v>
      </c>
      <c r="M4" s="1">
        <v>1732</v>
      </c>
      <c r="N4" s="1">
        <f>C4+D4+E4+G4+H4+J4+K4+L4</f>
        <v>465</v>
      </c>
      <c r="O4" s="1"/>
      <c r="P4" s="6">
        <f>M4+N4-O4</f>
        <v>2197</v>
      </c>
    </row>
    <row r="5" spans="1:16" ht="15" customHeight="1" x14ac:dyDescent="0.3">
      <c r="A5" s="1" t="s">
        <v>25</v>
      </c>
      <c r="B5" s="2">
        <v>2</v>
      </c>
      <c r="C5" s="2">
        <v>310</v>
      </c>
      <c r="D5" s="2">
        <v>55</v>
      </c>
      <c r="E5" s="2">
        <v>127</v>
      </c>
      <c r="F5" s="3" t="s">
        <v>43</v>
      </c>
      <c r="G5" s="3">
        <v>50</v>
      </c>
      <c r="H5" s="3"/>
      <c r="I5" s="4" t="s">
        <v>44</v>
      </c>
      <c r="J5" s="4">
        <v>200</v>
      </c>
      <c r="K5" s="4"/>
      <c r="L5" s="5">
        <v>35</v>
      </c>
      <c r="M5" s="1"/>
      <c r="N5" s="1">
        <f>C5+D5+E5+G5+H5+J5+K5+L5</f>
        <v>777</v>
      </c>
      <c r="O5" s="1"/>
      <c r="P5" s="6">
        <f>M5+N5-O5</f>
        <v>777</v>
      </c>
    </row>
    <row r="6" spans="1:16" x14ac:dyDescent="0.3">
      <c r="A6" s="1" t="s">
        <v>24</v>
      </c>
      <c r="B6" s="2">
        <v>3</v>
      </c>
      <c r="C6" s="2">
        <v>300</v>
      </c>
      <c r="D6" s="2">
        <v>38</v>
      </c>
      <c r="E6" s="2"/>
      <c r="F6" s="3" t="s">
        <v>44</v>
      </c>
      <c r="G6" s="3">
        <v>100</v>
      </c>
      <c r="H6" s="3"/>
      <c r="I6" s="4" t="s">
        <v>45</v>
      </c>
      <c r="J6" s="4">
        <v>250</v>
      </c>
      <c r="K6" s="4"/>
      <c r="L6" s="5">
        <v>5</v>
      </c>
      <c r="M6" s="1">
        <v>433</v>
      </c>
      <c r="N6" s="1">
        <f>C6+D6+E6+G6+H6+J6+K6+L6</f>
        <v>693</v>
      </c>
      <c r="O6" s="1"/>
      <c r="P6" s="6">
        <f>M6+N6-O6</f>
        <v>1126</v>
      </c>
    </row>
    <row r="7" spans="1:16" x14ac:dyDescent="0.3">
      <c r="A7" s="1" t="s">
        <v>20</v>
      </c>
      <c r="B7" s="2">
        <v>4</v>
      </c>
      <c r="C7" s="2">
        <v>290</v>
      </c>
      <c r="D7" s="2"/>
      <c r="E7" s="2"/>
      <c r="F7" s="3"/>
      <c r="G7" s="3"/>
      <c r="H7" s="3"/>
      <c r="I7" s="4"/>
      <c r="J7" s="4"/>
      <c r="K7" s="4"/>
      <c r="L7" s="5">
        <v>10</v>
      </c>
      <c r="M7" s="1">
        <v>1265</v>
      </c>
      <c r="N7" s="1">
        <f>C7+D7+E7+G7+H7+J7+K7+L7</f>
        <v>300</v>
      </c>
      <c r="O7" s="1"/>
      <c r="P7" s="6">
        <f>M7+N7-O7</f>
        <v>1565</v>
      </c>
    </row>
    <row r="8" spans="1:16" x14ac:dyDescent="0.3">
      <c r="A8" s="1" t="s">
        <v>18</v>
      </c>
      <c r="B8" s="2">
        <v>5</v>
      </c>
      <c r="C8" s="2">
        <v>280</v>
      </c>
      <c r="D8" s="2">
        <v>60</v>
      </c>
      <c r="E8" s="2">
        <v>98</v>
      </c>
      <c r="F8" s="3" t="s">
        <v>44</v>
      </c>
      <c r="G8" s="3">
        <v>100</v>
      </c>
      <c r="H8" s="3"/>
      <c r="I8" s="4"/>
      <c r="J8" s="4"/>
      <c r="K8" s="4"/>
      <c r="L8" s="5">
        <v>15</v>
      </c>
      <c r="M8" s="1"/>
      <c r="N8" s="1">
        <f>C8+D8+E8+G8+H8+J8+K8+L8</f>
        <v>553</v>
      </c>
      <c r="O8" s="1"/>
      <c r="P8" s="6">
        <f>M8+N8-O8</f>
        <v>553</v>
      </c>
    </row>
    <row r="9" spans="1:16" x14ac:dyDescent="0.3">
      <c r="A9" s="1" t="s">
        <v>17</v>
      </c>
      <c r="B9" s="2">
        <v>6</v>
      </c>
      <c r="C9" s="2">
        <v>270</v>
      </c>
      <c r="D9" s="2"/>
      <c r="E9" s="2">
        <v>40</v>
      </c>
      <c r="F9" s="3"/>
      <c r="G9" s="3"/>
      <c r="H9" s="3">
        <v>60</v>
      </c>
      <c r="I9" s="4" t="s">
        <v>44</v>
      </c>
      <c r="J9" s="4">
        <v>200</v>
      </c>
      <c r="K9" s="4"/>
      <c r="L9" s="5">
        <v>15</v>
      </c>
      <c r="M9" s="1">
        <v>2097</v>
      </c>
      <c r="N9" s="1">
        <f>C9+D9+E9+G9+H9+J9+K9+L9</f>
        <v>585</v>
      </c>
      <c r="O9" s="1"/>
      <c r="P9" s="6">
        <f>M9+N9-O9</f>
        <v>2682</v>
      </c>
    </row>
    <row r="10" spans="1:16" x14ac:dyDescent="0.3">
      <c r="A10" s="1" t="s">
        <v>16</v>
      </c>
      <c r="B10" s="2">
        <v>7</v>
      </c>
      <c r="C10" s="2">
        <v>260</v>
      </c>
      <c r="D10" s="2">
        <v>70</v>
      </c>
      <c r="E10" s="2">
        <v>85</v>
      </c>
      <c r="F10" s="3" t="s">
        <v>43</v>
      </c>
      <c r="G10" s="3">
        <v>50</v>
      </c>
      <c r="H10" s="3"/>
      <c r="I10" s="4" t="s">
        <v>44</v>
      </c>
      <c r="J10" s="4">
        <v>200</v>
      </c>
      <c r="K10" s="4">
        <v>60</v>
      </c>
      <c r="L10" s="5">
        <v>30</v>
      </c>
      <c r="M10" s="1">
        <v>191</v>
      </c>
      <c r="N10" s="1">
        <f>C10+D10+E10+G10+H10+J10+K10+L10</f>
        <v>755</v>
      </c>
      <c r="O10" s="1"/>
      <c r="P10" s="6">
        <f>M10+N10-O10</f>
        <v>946</v>
      </c>
    </row>
    <row r="11" spans="1:16" x14ac:dyDescent="0.3">
      <c r="A11" s="1" t="s">
        <v>22</v>
      </c>
      <c r="B11" s="2">
        <v>8</v>
      </c>
      <c r="C11" s="2">
        <v>250</v>
      </c>
      <c r="D11" s="2">
        <v>30</v>
      </c>
      <c r="E11" s="2"/>
      <c r="F11" s="3" t="s">
        <v>43</v>
      </c>
      <c r="G11" s="3">
        <v>100</v>
      </c>
      <c r="H11" s="3"/>
      <c r="I11" s="4"/>
      <c r="J11" s="4"/>
      <c r="K11" s="4"/>
      <c r="L11" s="5">
        <v>45</v>
      </c>
      <c r="M11" s="1">
        <v>921</v>
      </c>
      <c r="N11" s="1">
        <f>C11+D11+E11+G11+H11+J11+K11+L11</f>
        <v>425</v>
      </c>
      <c r="O11" s="1">
        <v>158</v>
      </c>
      <c r="P11" s="6">
        <f>M11+N11-O11</f>
        <v>1188</v>
      </c>
    </row>
    <row r="12" spans="1:16" x14ac:dyDescent="0.3">
      <c r="A12" s="1" t="s">
        <v>23</v>
      </c>
      <c r="B12" s="2">
        <v>9</v>
      </c>
      <c r="C12" s="2">
        <v>240</v>
      </c>
      <c r="D12" s="2">
        <v>27</v>
      </c>
      <c r="E12" s="2"/>
      <c r="F12" s="3" t="s">
        <v>44</v>
      </c>
      <c r="G12" s="3">
        <v>100</v>
      </c>
      <c r="H12" s="3"/>
      <c r="I12" s="4"/>
      <c r="J12" s="4"/>
      <c r="K12" s="4"/>
      <c r="L12" s="5">
        <v>45</v>
      </c>
      <c r="M12" s="1">
        <v>205</v>
      </c>
      <c r="N12" s="1">
        <f>C12+D12+E12+G12+H12+J12+K12+L12</f>
        <v>412</v>
      </c>
      <c r="O12" s="1"/>
      <c r="P12" s="6">
        <f>M12+N12-O12</f>
        <v>617</v>
      </c>
    </row>
    <row r="13" spans="1:16" x14ac:dyDescent="0.3">
      <c r="A13" s="1" t="s">
        <v>29</v>
      </c>
      <c r="B13" s="2">
        <v>10</v>
      </c>
      <c r="C13" s="2">
        <v>230</v>
      </c>
      <c r="D13" s="2">
        <v>40</v>
      </c>
      <c r="E13" s="2"/>
      <c r="F13" s="3" t="s">
        <v>44</v>
      </c>
      <c r="G13" s="3">
        <v>100</v>
      </c>
      <c r="H13" s="3"/>
      <c r="I13" s="4"/>
      <c r="J13" s="4"/>
      <c r="K13" s="4"/>
      <c r="L13" s="5"/>
      <c r="M13" s="1"/>
      <c r="N13" s="1">
        <f>C13+D13+E13+G13+H13+J13+K13+L13</f>
        <v>370</v>
      </c>
      <c r="O13" s="1"/>
      <c r="P13" s="6">
        <f>M13+N13-O13</f>
        <v>370</v>
      </c>
    </row>
    <row r="14" spans="1:16" x14ac:dyDescent="0.3">
      <c r="A14" s="1" t="s">
        <v>27</v>
      </c>
      <c r="B14" s="2">
        <v>11</v>
      </c>
      <c r="C14" s="2">
        <v>220</v>
      </c>
      <c r="D14" s="2">
        <v>35</v>
      </c>
      <c r="E14" s="2"/>
      <c r="F14" s="3" t="s">
        <v>43</v>
      </c>
      <c r="G14" s="3">
        <v>50</v>
      </c>
      <c r="H14" s="3"/>
      <c r="I14" s="4"/>
      <c r="J14" s="4"/>
      <c r="K14" s="4"/>
      <c r="L14" s="5"/>
      <c r="M14" s="1"/>
      <c r="N14" s="1">
        <f>C14+D14+E14+G14+H14+J14+K14+L14</f>
        <v>305</v>
      </c>
      <c r="O14" s="1"/>
      <c r="P14" s="6">
        <f>M14+N14-O14</f>
        <v>305</v>
      </c>
    </row>
    <row r="15" spans="1:16" x14ac:dyDescent="0.3">
      <c r="A15" s="1" t="s">
        <v>15</v>
      </c>
      <c r="B15" s="2">
        <v>12</v>
      </c>
      <c r="C15" s="2">
        <v>210</v>
      </c>
      <c r="D15" s="2"/>
      <c r="E15" s="2"/>
      <c r="F15" s="3"/>
      <c r="G15" s="3"/>
      <c r="H15" s="3"/>
      <c r="I15" s="4" t="s">
        <v>45</v>
      </c>
      <c r="J15" s="4">
        <v>250</v>
      </c>
      <c r="K15" s="4"/>
      <c r="L15" s="5">
        <v>15</v>
      </c>
      <c r="M15" s="1">
        <v>1259</v>
      </c>
      <c r="N15" s="1">
        <f>C15+D15+E15+G15+H15+J15+K15+L15</f>
        <v>475</v>
      </c>
      <c r="O15" s="1"/>
      <c r="P15" s="6">
        <f>M15+N15-O15</f>
        <v>1734</v>
      </c>
    </row>
    <row r="16" spans="1:16" x14ac:dyDescent="0.3">
      <c r="A16" s="1" t="s">
        <v>28</v>
      </c>
      <c r="B16" s="2">
        <v>13</v>
      </c>
      <c r="C16" s="2">
        <v>200</v>
      </c>
      <c r="D16" s="2"/>
      <c r="E16" s="2"/>
      <c r="F16" s="3" t="s">
        <v>43</v>
      </c>
      <c r="G16" s="3">
        <v>50</v>
      </c>
      <c r="H16" s="3"/>
      <c r="I16" s="4"/>
      <c r="J16" s="4"/>
      <c r="K16" s="4"/>
      <c r="L16" s="5">
        <v>40</v>
      </c>
      <c r="M16" s="1"/>
      <c r="N16" s="1">
        <f>C16+D16+E16+G16+H16+J16+K16+L16</f>
        <v>290</v>
      </c>
      <c r="O16" s="1"/>
      <c r="P16" s="6">
        <f>M16+N16-O16</f>
        <v>290</v>
      </c>
    </row>
    <row r="17" spans="1:16" x14ac:dyDescent="0.3">
      <c r="A17" s="1" t="s">
        <v>30</v>
      </c>
      <c r="B17" s="2">
        <v>14</v>
      </c>
      <c r="C17" s="2">
        <v>190</v>
      </c>
      <c r="D17" s="2"/>
      <c r="E17" s="2"/>
      <c r="F17" s="3"/>
      <c r="G17" s="3"/>
      <c r="H17" s="3"/>
      <c r="I17" s="4"/>
      <c r="J17" s="4"/>
      <c r="K17" s="4"/>
      <c r="L17" s="5"/>
      <c r="M17" s="1">
        <v>106</v>
      </c>
      <c r="N17" s="1">
        <f>C17+D17+E17+G17+H17+J17+K17+L17</f>
        <v>190</v>
      </c>
      <c r="O17" s="1"/>
      <c r="P17" s="6">
        <f>M17+N17-O17</f>
        <v>296</v>
      </c>
    </row>
    <row r="18" spans="1:16" x14ac:dyDescent="0.3">
      <c r="A18" s="1" t="s">
        <v>19</v>
      </c>
      <c r="B18" s="2">
        <v>15</v>
      </c>
      <c r="C18" s="2">
        <v>180</v>
      </c>
      <c r="D18" s="2"/>
      <c r="E18" s="2"/>
      <c r="F18" s="3" t="s">
        <v>45</v>
      </c>
      <c r="G18" s="3">
        <v>150</v>
      </c>
      <c r="H18" s="3">
        <v>60</v>
      </c>
      <c r="I18" s="4"/>
      <c r="J18" s="4"/>
      <c r="K18" s="4">
        <v>60</v>
      </c>
      <c r="L18" s="5"/>
      <c r="M18" s="1">
        <v>251</v>
      </c>
      <c r="N18" s="1">
        <f>C18+D18+E18+G18+H18+J18+K18+L18</f>
        <v>450</v>
      </c>
      <c r="O18" s="1"/>
      <c r="P18" s="6">
        <f>M18+N18-O18</f>
        <v>701</v>
      </c>
    </row>
    <row r="19" spans="1:16" x14ac:dyDescent="0.3">
      <c r="A19" s="1" t="s">
        <v>21</v>
      </c>
      <c r="B19" s="2">
        <v>17</v>
      </c>
      <c r="C19" s="2">
        <v>170</v>
      </c>
      <c r="D19" s="2"/>
      <c r="E19" s="2"/>
      <c r="F19" s="3"/>
      <c r="G19" s="3"/>
      <c r="H19" s="3"/>
      <c r="I19" s="4" t="s">
        <v>44</v>
      </c>
      <c r="J19" s="4">
        <v>200</v>
      </c>
      <c r="K19" s="4"/>
      <c r="L19" s="5"/>
      <c r="M19" s="1">
        <v>300</v>
      </c>
      <c r="N19" s="1">
        <f>C19+D19+E19+G19+H19+J19+K19+L19</f>
        <v>370</v>
      </c>
      <c r="O19" s="1"/>
      <c r="P19" s="6">
        <f>M19+N19-O19</f>
        <v>670</v>
      </c>
    </row>
    <row r="20" spans="1:16" x14ac:dyDescent="0.3">
      <c r="A20" s="1" t="s">
        <v>31</v>
      </c>
      <c r="B20" s="2"/>
      <c r="C20" s="2"/>
      <c r="D20" s="2"/>
      <c r="E20" s="2"/>
      <c r="F20" s="3" t="s">
        <v>43</v>
      </c>
      <c r="G20" s="3">
        <v>50</v>
      </c>
      <c r="H20" s="3"/>
      <c r="I20" s="4"/>
      <c r="J20" s="4"/>
      <c r="K20" s="4"/>
      <c r="L20" s="5"/>
      <c r="M20" s="1"/>
      <c r="N20" s="1">
        <f>C20+D20+E20+G20+H20+J20+K20+L20</f>
        <v>50</v>
      </c>
      <c r="O20" s="1"/>
      <c r="P20" s="6">
        <f>M20+N20-O20</f>
        <v>50</v>
      </c>
    </row>
  </sheetData>
  <autoFilter ref="A3:P20" xr:uid="{C08C8DD9-62BF-4F61-8FBF-6664D0041D04}">
    <sortState xmlns:xlrd2="http://schemas.microsoft.com/office/spreadsheetml/2017/richdata2" ref="A4:P20">
      <sortCondition ref="B3:B20"/>
    </sortState>
  </autoFilter>
  <mergeCells count="3">
    <mergeCell ref="B1:E1"/>
    <mergeCell ref="F1:H1"/>
    <mergeCell ref="I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C4B-51A6-43F8-996F-53C097AA9FD1}">
  <dimension ref="A1:H19"/>
  <sheetViews>
    <sheetView zoomScale="115" zoomScaleNormal="115" workbookViewId="0">
      <selection activeCell="I14" sqref="I14"/>
    </sheetView>
  </sheetViews>
  <sheetFormatPr baseColWidth="10" defaultRowHeight="14.4" x14ac:dyDescent="0.3"/>
  <cols>
    <col min="1" max="1" width="18.6640625" bestFit="1" customWidth="1"/>
    <col min="2" max="2" width="12.33203125" style="7" customWidth="1"/>
    <col min="3" max="5" width="11.5546875" style="7"/>
    <col min="6" max="6" width="49.44140625" style="7" bestFit="1" customWidth="1"/>
  </cols>
  <sheetData>
    <row r="1" spans="1:8" x14ac:dyDescent="0.3">
      <c r="A1" s="8" t="s">
        <v>0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38</v>
      </c>
      <c r="H1" s="8" t="s">
        <v>39</v>
      </c>
    </row>
    <row r="2" spans="1:8" x14ac:dyDescent="0.3">
      <c r="A2" s="9" t="s">
        <v>14</v>
      </c>
      <c r="B2" s="10">
        <v>2675</v>
      </c>
      <c r="C2" s="10">
        <v>50</v>
      </c>
      <c r="D2" s="10">
        <v>20</v>
      </c>
      <c r="E2" s="10"/>
      <c r="F2" s="10" t="s">
        <v>42</v>
      </c>
      <c r="G2" s="10">
        <v>70</v>
      </c>
      <c r="H2" s="10">
        <f>B2-C2+D2-E2-G2</f>
        <v>2575</v>
      </c>
    </row>
    <row r="3" spans="1:8" x14ac:dyDescent="0.3">
      <c r="A3" s="1" t="s">
        <v>30</v>
      </c>
      <c r="B3" s="8">
        <v>300</v>
      </c>
      <c r="C3" s="8"/>
      <c r="D3" s="8"/>
      <c r="E3" s="8"/>
      <c r="F3" s="8"/>
      <c r="G3" s="8">
        <v>119</v>
      </c>
      <c r="H3" s="8">
        <f t="shared" ref="H3:H19" si="0">B3-C3+D3-E3-G3</f>
        <v>181</v>
      </c>
    </row>
    <row r="4" spans="1:8" x14ac:dyDescent="0.3">
      <c r="A4" s="9" t="s">
        <v>24</v>
      </c>
      <c r="B4" s="10">
        <v>1000</v>
      </c>
      <c r="C4" s="10">
        <v>80</v>
      </c>
      <c r="D4" s="10">
        <v>140</v>
      </c>
      <c r="E4" s="10">
        <v>250</v>
      </c>
      <c r="F4" s="10"/>
      <c r="G4" s="10"/>
      <c r="H4" s="10">
        <f t="shared" si="0"/>
        <v>810</v>
      </c>
    </row>
    <row r="5" spans="1:8" ht="28.8" x14ac:dyDescent="0.3">
      <c r="A5" s="9" t="s">
        <v>20</v>
      </c>
      <c r="B5" s="10">
        <v>2152</v>
      </c>
      <c r="C5" s="10">
        <v>60</v>
      </c>
      <c r="D5" s="10">
        <v>95</v>
      </c>
      <c r="E5" s="10"/>
      <c r="F5" s="11" t="s">
        <v>41</v>
      </c>
      <c r="G5" s="10">
        <v>33</v>
      </c>
      <c r="H5" s="10">
        <f t="shared" si="0"/>
        <v>2154</v>
      </c>
    </row>
    <row r="6" spans="1:8" x14ac:dyDescent="0.3">
      <c r="A6" s="9" t="s">
        <v>25</v>
      </c>
      <c r="B6" s="10">
        <v>164</v>
      </c>
      <c r="C6" s="10"/>
      <c r="D6" s="10">
        <v>50</v>
      </c>
      <c r="E6" s="10"/>
      <c r="F6" s="10"/>
      <c r="G6" s="10">
        <v>3</v>
      </c>
      <c r="H6" s="10">
        <f t="shared" si="0"/>
        <v>211</v>
      </c>
    </row>
    <row r="7" spans="1:8" x14ac:dyDescent="0.3">
      <c r="A7" s="9" t="s">
        <v>17</v>
      </c>
      <c r="B7" s="10">
        <v>2569</v>
      </c>
      <c r="C7" s="10"/>
      <c r="D7" s="10"/>
      <c r="E7" s="10"/>
      <c r="F7" s="10"/>
      <c r="G7" s="10"/>
      <c r="H7" s="10">
        <f t="shared" si="0"/>
        <v>2569</v>
      </c>
    </row>
    <row r="8" spans="1:8" x14ac:dyDescent="0.3">
      <c r="A8" s="9" t="s">
        <v>23</v>
      </c>
      <c r="B8" s="10">
        <v>194</v>
      </c>
      <c r="C8" s="10">
        <v>60</v>
      </c>
      <c r="D8" s="10"/>
      <c r="E8" s="10"/>
      <c r="F8" s="10"/>
      <c r="G8" s="10">
        <v>15</v>
      </c>
      <c r="H8" s="10">
        <f t="shared" si="0"/>
        <v>119</v>
      </c>
    </row>
    <row r="9" spans="1:8" x14ac:dyDescent="0.3">
      <c r="A9" s="9" t="s">
        <v>19</v>
      </c>
      <c r="B9" s="10">
        <v>440</v>
      </c>
      <c r="C9" s="10"/>
      <c r="D9" s="10"/>
      <c r="E9" s="10"/>
      <c r="F9" s="10" t="s">
        <v>42</v>
      </c>
      <c r="G9" s="10"/>
      <c r="H9" s="10">
        <f t="shared" si="0"/>
        <v>440</v>
      </c>
    </row>
    <row r="10" spans="1:8" x14ac:dyDescent="0.3">
      <c r="A10" s="9" t="s">
        <v>15</v>
      </c>
      <c r="B10" s="10">
        <v>1920</v>
      </c>
      <c r="C10" s="10"/>
      <c r="D10" s="10">
        <v>215</v>
      </c>
      <c r="E10" s="10">
        <v>0</v>
      </c>
      <c r="F10" s="10" t="s">
        <v>40</v>
      </c>
      <c r="G10" s="10">
        <v>14</v>
      </c>
      <c r="H10" s="10">
        <f t="shared" si="0"/>
        <v>2121</v>
      </c>
    </row>
    <row r="11" spans="1:8" x14ac:dyDescent="0.3">
      <c r="A11" s="9" t="s">
        <v>22</v>
      </c>
      <c r="B11" s="10">
        <v>759</v>
      </c>
      <c r="C11" s="10"/>
      <c r="D11" s="10"/>
      <c r="E11" s="10"/>
      <c r="F11" s="10"/>
      <c r="G11" s="10"/>
      <c r="H11" s="10">
        <f t="shared" si="0"/>
        <v>759</v>
      </c>
    </row>
    <row r="12" spans="1:8" x14ac:dyDescent="0.3">
      <c r="A12" s="9" t="s">
        <v>21</v>
      </c>
      <c r="B12" s="10">
        <v>300</v>
      </c>
      <c r="C12" s="10"/>
      <c r="D12" s="10"/>
      <c r="E12" s="10"/>
      <c r="F12" s="10"/>
      <c r="G12" s="10"/>
      <c r="H12" s="10">
        <f t="shared" si="0"/>
        <v>300</v>
      </c>
    </row>
    <row r="13" spans="1:8" x14ac:dyDescent="0.3">
      <c r="A13" s="9" t="s">
        <v>16</v>
      </c>
      <c r="B13" s="10">
        <v>223</v>
      </c>
      <c r="C13" s="10"/>
      <c r="D13" s="10"/>
      <c r="E13" s="10"/>
      <c r="F13" s="10"/>
      <c r="G13" s="10"/>
      <c r="H13" s="10">
        <f t="shared" si="0"/>
        <v>223</v>
      </c>
    </row>
    <row r="14" spans="1:8" x14ac:dyDescent="0.3">
      <c r="A14" s="9" t="s">
        <v>27</v>
      </c>
      <c r="B14" s="10">
        <v>12</v>
      </c>
      <c r="C14" s="10">
        <v>45</v>
      </c>
      <c r="D14" s="10">
        <v>40</v>
      </c>
      <c r="E14" s="10"/>
      <c r="F14" s="10"/>
      <c r="G14" s="10">
        <v>18</v>
      </c>
      <c r="H14" s="10">
        <f t="shared" si="0"/>
        <v>-11</v>
      </c>
    </row>
    <row r="15" spans="1:8" x14ac:dyDescent="0.3">
      <c r="A15" s="9" t="s">
        <v>18</v>
      </c>
      <c r="B15" s="10">
        <v>280</v>
      </c>
      <c r="C15" s="10"/>
      <c r="D15" s="10"/>
      <c r="E15" s="10"/>
      <c r="F15" s="10"/>
      <c r="G15" s="10"/>
      <c r="H15" s="10">
        <f t="shared" si="0"/>
        <v>280</v>
      </c>
    </row>
    <row r="16" spans="1:8" x14ac:dyDescent="0.3">
      <c r="A16" s="9" t="s">
        <v>28</v>
      </c>
      <c r="B16" s="10">
        <v>300</v>
      </c>
      <c r="C16" s="10"/>
      <c r="D16" s="10"/>
      <c r="E16" s="10"/>
      <c r="F16" s="10"/>
      <c r="G16" s="10"/>
      <c r="H16" s="10">
        <f t="shared" si="0"/>
        <v>300</v>
      </c>
    </row>
    <row r="17" spans="1:8" x14ac:dyDescent="0.3">
      <c r="A17" s="1" t="s">
        <v>26</v>
      </c>
      <c r="B17" s="8">
        <v>300</v>
      </c>
      <c r="C17" s="8"/>
      <c r="D17" s="8"/>
      <c r="E17" s="8"/>
      <c r="F17" s="8"/>
      <c r="G17" s="8"/>
      <c r="H17" s="8">
        <f t="shared" si="0"/>
        <v>300</v>
      </c>
    </row>
    <row r="18" spans="1:8" x14ac:dyDescent="0.3">
      <c r="A18" s="9" t="s">
        <v>29</v>
      </c>
      <c r="B18" s="10">
        <v>300</v>
      </c>
      <c r="C18" s="10">
        <v>75</v>
      </c>
      <c r="D18" s="10"/>
      <c r="E18" s="10">
        <v>0</v>
      </c>
      <c r="F18" s="10" t="s">
        <v>37</v>
      </c>
      <c r="G18" s="10">
        <v>88</v>
      </c>
      <c r="H18" s="10">
        <f t="shared" si="0"/>
        <v>137</v>
      </c>
    </row>
    <row r="19" spans="1:8" x14ac:dyDescent="0.3">
      <c r="A19" s="9" t="s">
        <v>31</v>
      </c>
      <c r="B19" s="10">
        <v>300</v>
      </c>
      <c r="C19" s="10">
        <v>90</v>
      </c>
      <c r="D19" s="10"/>
      <c r="E19" s="10"/>
      <c r="F19" s="10"/>
      <c r="G19" s="10"/>
      <c r="H19" s="10">
        <f t="shared" si="0"/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SALGADO VENCES</dc:creator>
  <cp:lastModifiedBy>ALEJANDRO SALGADO VENCES</cp:lastModifiedBy>
  <dcterms:created xsi:type="dcterms:W3CDTF">2026-08-03T03:25:37Z</dcterms:created>
  <dcterms:modified xsi:type="dcterms:W3CDTF">2026-09-13T19:05:28Z</dcterms:modified>
</cp:coreProperties>
</file>